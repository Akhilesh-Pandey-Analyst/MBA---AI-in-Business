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hek Maiti\Contacts\Desktop\New folder\"/>
    </mc:Choice>
  </mc:AlternateContent>
  <xr:revisionPtr revIDLastSave="0" documentId="13_ncr:1_{D67F8F14-1EF4-4DC5-A33A-66DB487714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F42" i="1" s="1"/>
  <c r="C43" i="1"/>
  <c r="F40" i="1" l="1"/>
  <c r="G30" i="1"/>
  <c r="G31" i="1"/>
  <c r="G32" i="1"/>
  <c r="G33" i="1"/>
  <c r="G34" i="1"/>
  <c r="G35" i="1"/>
  <c r="G36" i="1"/>
  <c r="G37" i="1"/>
  <c r="G38" i="1"/>
  <c r="G29" i="1"/>
  <c r="D40" i="1"/>
  <c r="E40" i="1"/>
  <c r="C40" i="1"/>
  <c r="E21" i="1"/>
  <c r="E22" i="1"/>
  <c r="E20" i="1"/>
  <c r="D18" i="1"/>
  <c r="E18" i="1" s="1"/>
  <c r="D19" i="1"/>
  <c r="E19" i="1" s="1"/>
  <c r="D17" i="1"/>
  <c r="E17" i="1" s="1"/>
  <c r="D13" i="1"/>
  <c r="C14" i="1"/>
  <c r="C16" i="1"/>
  <c r="C15" i="1"/>
  <c r="E13" i="1" l="1"/>
  <c r="I43" i="1"/>
  <c r="D14" i="1"/>
  <c r="E14" i="1"/>
  <c r="E16" i="1"/>
  <c r="D16" i="1"/>
  <c r="E15" i="1"/>
  <c r="D15" i="1"/>
</calcChain>
</file>

<file path=xl/sharedStrings.xml><?xml version="1.0" encoding="utf-8"?>
<sst xmlns="http://schemas.openxmlformats.org/spreadsheetml/2006/main" count="62" uniqueCount="24">
  <si>
    <t>Ferns worth Tire Company</t>
  </si>
  <si>
    <t>Aggregate Planning with the Transportation Method</t>
  </si>
  <si>
    <t>Costs</t>
  </si>
  <si>
    <t>Regular time</t>
  </si>
  <si>
    <t>Overtime</t>
  </si>
  <si>
    <t>Subcontracting</t>
  </si>
  <si>
    <t>Carrying cost per period</t>
  </si>
  <si>
    <t>Cost Table</t>
  </si>
  <si>
    <t>Supply From</t>
  </si>
  <si>
    <t>Beginning Inventory</t>
  </si>
  <si>
    <t>March</t>
  </si>
  <si>
    <t>April</t>
  </si>
  <si>
    <t>May</t>
  </si>
  <si>
    <t>Regular Time</t>
  </si>
  <si>
    <t>Sub-contract</t>
  </si>
  <si>
    <t>Period 1</t>
  </si>
  <si>
    <t>Period 2</t>
  </si>
  <si>
    <t>Period 3</t>
  </si>
  <si>
    <t>Unused Capacity (Dummy)</t>
  </si>
  <si>
    <t>Transportation Table</t>
  </si>
  <si>
    <t>Total Demand</t>
  </si>
  <si>
    <t>=</t>
  </si>
  <si>
    <t>Supply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</si>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</sst>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20" workbookViewId="0">
      <selection activeCell="L37" sqref="L37"/>
    </sheetView>
  </sheetViews>
  <sheetFormatPr defaultColWidth="8.88671875" defaultRowHeight="14.4" x14ac:dyDescent="0.3"/>
  <cols>
    <col min="1" max="1" width="44.21875" style="1" customWidth="1"/>
    <col min="2" max="2" width="16.88671875" style="1" customWidth="1"/>
    <col min="3" max="5" width="8.88671875" style="1"/>
    <col min="6" max="6" width="23.109375" style="1" customWidth="1"/>
    <col min="7" max="16384" width="8.88671875" style="1"/>
  </cols>
  <sheetData>
    <row r="1" spans="1:6" x14ac:dyDescent="0.3">
      <c r="A1" s="1" t="s">
        <v>0</v>
      </c>
    </row>
    <row r="2" spans="1:6" x14ac:dyDescent="0.3">
      <c r="A2" s="1" t="s">
        <v>1</v>
      </c>
    </row>
    <row r="4" spans="1:6" x14ac:dyDescent="0.3">
      <c r="A4" s="1" t="s">
        <v>2</v>
      </c>
    </row>
    <row r="5" spans="1:6" x14ac:dyDescent="0.3">
      <c r="A5" s="1" t="s">
        <v>3</v>
      </c>
      <c r="B5" s="3">
        <v>40</v>
      </c>
    </row>
    <row r="6" spans="1:6" x14ac:dyDescent="0.3">
      <c r="A6" s="1" t="s">
        <v>4</v>
      </c>
      <c r="B6" s="3">
        <v>50</v>
      </c>
    </row>
    <row r="7" spans="1:6" x14ac:dyDescent="0.3">
      <c r="A7" s="1" t="s">
        <v>5</v>
      </c>
      <c r="B7" s="3">
        <v>70</v>
      </c>
    </row>
    <row r="8" spans="1:6" x14ac:dyDescent="0.3">
      <c r="A8" s="1" t="s">
        <v>6</v>
      </c>
      <c r="B8" s="1">
        <v>2</v>
      </c>
    </row>
    <row r="10" spans="1:6" x14ac:dyDescent="0.3">
      <c r="A10" s="2" t="s">
        <v>7</v>
      </c>
    </row>
    <row r="12" spans="1:6" x14ac:dyDescent="0.3">
      <c r="B12" s="1" t="s">
        <v>8</v>
      </c>
      <c r="C12" s="1" t="s">
        <v>10</v>
      </c>
      <c r="D12" s="1" t="s">
        <v>11</v>
      </c>
      <c r="E12" s="1" t="s">
        <v>12</v>
      </c>
      <c r="F12" s="1" t="s">
        <v>18</v>
      </c>
    </row>
    <row r="13" spans="1:6" x14ac:dyDescent="0.3">
      <c r="A13" s="8" t="s">
        <v>9</v>
      </c>
      <c r="B13" s="8"/>
      <c r="C13" s="1">
        <v>0</v>
      </c>
      <c r="D13" s="1">
        <f>C13+B8</f>
        <v>2</v>
      </c>
      <c r="E13" s="1">
        <f>D13+B8</f>
        <v>4</v>
      </c>
      <c r="F13" s="1">
        <v>0</v>
      </c>
    </row>
    <row r="14" spans="1:6" x14ac:dyDescent="0.3">
      <c r="A14" s="7" t="s">
        <v>15</v>
      </c>
      <c r="B14" s="1" t="s">
        <v>13</v>
      </c>
      <c r="C14" s="3">
        <f>$B$5</f>
        <v>40</v>
      </c>
      <c r="D14" s="1">
        <f>C14+$D$13</f>
        <v>42</v>
      </c>
      <c r="E14" s="1">
        <f>C14+$E$13</f>
        <v>44</v>
      </c>
      <c r="F14" s="1">
        <v>0</v>
      </c>
    </row>
    <row r="15" spans="1:6" x14ac:dyDescent="0.3">
      <c r="A15" s="7"/>
      <c r="B15" s="1" t="s">
        <v>4</v>
      </c>
      <c r="C15" s="3">
        <f>$B$6</f>
        <v>50</v>
      </c>
      <c r="D15" s="1">
        <f t="shared" ref="D15:D16" si="0">C15+$D$13</f>
        <v>52</v>
      </c>
      <c r="E15" s="1">
        <f t="shared" ref="E15:E16" si="1">C15+$E$13</f>
        <v>54</v>
      </c>
      <c r="F15" s="1">
        <v>0</v>
      </c>
    </row>
    <row r="16" spans="1:6" x14ac:dyDescent="0.3">
      <c r="A16" s="7"/>
      <c r="B16" s="1" t="s">
        <v>14</v>
      </c>
      <c r="C16" s="3">
        <f>$B$7</f>
        <v>70</v>
      </c>
      <c r="D16" s="1">
        <f t="shared" si="0"/>
        <v>72</v>
      </c>
      <c r="E16" s="1">
        <f t="shared" si="1"/>
        <v>74</v>
      </c>
      <c r="F16" s="1">
        <v>0</v>
      </c>
    </row>
    <row r="17" spans="1:9" x14ac:dyDescent="0.3">
      <c r="A17" s="7" t="s">
        <v>16</v>
      </c>
      <c r="B17" s="1" t="s">
        <v>13</v>
      </c>
      <c r="C17" s="1">
        <v>9999</v>
      </c>
      <c r="D17" s="3">
        <f>B5</f>
        <v>40</v>
      </c>
      <c r="E17" s="1">
        <f>D17+$D$13</f>
        <v>42</v>
      </c>
      <c r="F17" s="1">
        <v>0</v>
      </c>
    </row>
    <row r="18" spans="1:9" x14ac:dyDescent="0.3">
      <c r="A18" s="7"/>
      <c r="B18" s="1" t="s">
        <v>4</v>
      </c>
      <c r="C18" s="1">
        <v>9999</v>
      </c>
      <c r="D18" s="3">
        <f t="shared" ref="D18:D19" si="2">B6</f>
        <v>50</v>
      </c>
      <c r="E18" s="1">
        <f t="shared" ref="E18:E19" si="3">D18+$D$13</f>
        <v>52</v>
      </c>
      <c r="F18" s="1">
        <v>0</v>
      </c>
    </row>
    <row r="19" spans="1:9" x14ac:dyDescent="0.3">
      <c r="A19" s="7"/>
      <c r="B19" s="1" t="s">
        <v>14</v>
      </c>
      <c r="C19" s="1">
        <v>9999</v>
      </c>
      <c r="D19" s="3">
        <f t="shared" si="2"/>
        <v>70</v>
      </c>
      <c r="E19" s="1">
        <f t="shared" si="3"/>
        <v>72</v>
      </c>
      <c r="F19" s="1">
        <v>0</v>
      </c>
    </row>
    <row r="20" spans="1:9" x14ac:dyDescent="0.3">
      <c r="A20" s="7" t="s">
        <v>17</v>
      </c>
      <c r="B20" s="1" t="s">
        <v>13</v>
      </c>
      <c r="C20" s="1">
        <v>9999</v>
      </c>
      <c r="D20" s="1">
        <v>9999</v>
      </c>
      <c r="E20" s="3">
        <f>B5</f>
        <v>40</v>
      </c>
      <c r="F20" s="1">
        <v>0</v>
      </c>
    </row>
    <row r="21" spans="1:9" x14ac:dyDescent="0.3">
      <c r="A21" s="7"/>
      <c r="B21" s="1" t="s">
        <v>4</v>
      </c>
      <c r="C21" s="1">
        <v>9999</v>
      </c>
      <c r="D21" s="1">
        <v>9999</v>
      </c>
      <c r="E21" s="3">
        <f t="shared" ref="E21:E22" si="4">B6</f>
        <v>50</v>
      </c>
      <c r="F21" s="1">
        <v>0</v>
      </c>
    </row>
    <row r="22" spans="1:9" x14ac:dyDescent="0.3">
      <c r="A22" s="7"/>
      <c r="B22" s="1" t="s">
        <v>14</v>
      </c>
      <c r="C22" s="1">
        <v>9999</v>
      </c>
      <c r="D22" s="1">
        <v>9999</v>
      </c>
      <c r="E22" s="3">
        <f t="shared" si="4"/>
        <v>70</v>
      </c>
      <c r="F22" s="1">
        <v>0</v>
      </c>
    </row>
    <row r="26" spans="1:9" x14ac:dyDescent="0.3">
      <c r="A26" s="2" t="s">
        <v>19</v>
      </c>
    </row>
    <row r="28" spans="1:9" x14ac:dyDescent="0.3">
      <c r="B28" s="1" t="s">
        <v>8</v>
      </c>
      <c r="C28" s="1" t="s">
        <v>10</v>
      </c>
      <c r="D28" s="1" t="s">
        <v>11</v>
      </c>
      <c r="E28" s="1" t="s">
        <v>12</v>
      </c>
      <c r="F28" s="1" t="s">
        <v>18</v>
      </c>
      <c r="I28" s="1" t="s">
        <v>22</v>
      </c>
    </row>
    <row r="29" spans="1:9" x14ac:dyDescent="0.3">
      <c r="A29" s="8" t="s">
        <v>9</v>
      </c>
      <c r="B29" s="8"/>
      <c r="C29" s="4">
        <v>100</v>
      </c>
      <c r="D29" s="1">
        <v>0</v>
      </c>
      <c r="E29" s="1">
        <v>0</v>
      </c>
      <c r="F29" s="1">
        <v>0</v>
      </c>
      <c r="G29" s="1">
        <f>SUM(C29:F29)</f>
        <v>100</v>
      </c>
      <c r="H29" s="1" t="s">
        <v>21</v>
      </c>
      <c r="I29" s="1">
        <v>100</v>
      </c>
    </row>
    <row r="30" spans="1:9" x14ac:dyDescent="0.3">
      <c r="A30" s="7" t="s">
        <v>15</v>
      </c>
      <c r="B30" s="1" t="s">
        <v>13</v>
      </c>
      <c r="C30" s="4">
        <v>700</v>
      </c>
      <c r="D30" s="1">
        <v>0</v>
      </c>
      <c r="E30" s="1">
        <v>0</v>
      </c>
      <c r="F30" s="1">
        <v>0</v>
      </c>
      <c r="G30" s="1">
        <f t="shared" ref="G30:G38" si="5">SUM(C30:F30)</f>
        <v>700</v>
      </c>
      <c r="H30" s="1" t="s">
        <v>21</v>
      </c>
      <c r="I30" s="1">
        <v>700</v>
      </c>
    </row>
    <row r="31" spans="1:9" x14ac:dyDescent="0.3">
      <c r="A31" s="7"/>
      <c r="B31" s="1" t="s">
        <v>4</v>
      </c>
      <c r="C31" s="1">
        <v>0</v>
      </c>
      <c r="D31" s="5">
        <v>50</v>
      </c>
      <c r="E31" s="1">
        <v>0</v>
      </c>
      <c r="F31" s="1">
        <v>0</v>
      </c>
      <c r="G31" s="1">
        <f t="shared" si="5"/>
        <v>50</v>
      </c>
      <c r="H31" s="1" t="s">
        <v>21</v>
      </c>
      <c r="I31" s="1">
        <v>50</v>
      </c>
    </row>
    <row r="32" spans="1:9" x14ac:dyDescent="0.3">
      <c r="A32" s="7"/>
      <c r="B32" s="1" t="s">
        <v>14</v>
      </c>
      <c r="C32" s="1">
        <v>0</v>
      </c>
      <c r="D32" s="5">
        <v>50</v>
      </c>
      <c r="E32" s="1">
        <v>0</v>
      </c>
      <c r="F32" s="1">
        <v>0</v>
      </c>
      <c r="G32" s="1">
        <f t="shared" si="5"/>
        <v>50</v>
      </c>
      <c r="H32" s="1" t="s">
        <v>21</v>
      </c>
      <c r="I32" s="1">
        <v>150</v>
      </c>
    </row>
    <row r="33" spans="1:9" x14ac:dyDescent="0.3">
      <c r="A33" s="7" t="s">
        <v>16</v>
      </c>
      <c r="B33" s="1" t="s">
        <v>13</v>
      </c>
      <c r="C33" s="1">
        <v>0</v>
      </c>
      <c r="D33" s="4">
        <v>700</v>
      </c>
      <c r="E33" s="1">
        <v>0</v>
      </c>
      <c r="F33" s="1">
        <v>0</v>
      </c>
      <c r="G33" s="1">
        <f t="shared" si="5"/>
        <v>700</v>
      </c>
      <c r="H33" s="1" t="s">
        <v>21</v>
      </c>
      <c r="I33" s="1">
        <v>700</v>
      </c>
    </row>
    <row r="34" spans="1:9" x14ac:dyDescent="0.3">
      <c r="A34" s="7"/>
      <c r="B34" s="1" t="s">
        <v>4</v>
      </c>
      <c r="C34" s="1">
        <v>0</v>
      </c>
      <c r="D34" s="4">
        <v>50</v>
      </c>
      <c r="E34" s="1">
        <v>0</v>
      </c>
      <c r="F34" s="1">
        <v>0</v>
      </c>
      <c r="G34" s="1">
        <f t="shared" si="5"/>
        <v>50</v>
      </c>
      <c r="H34" s="1" t="s">
        <v>21</v>
      </c>
      <c r="I34" s="1">
        <v>50</v>
      </c>
    </row>
    <row r="35" spans="1:9" x14ac:dyDescent="0.3">
      <c r="A35" s="7"/>
      <c r="B35" s="1" t="s">
        <v>14</v>
      </c>
      <c r="C35" s="1">
        <v>0</v>
      </c>
      <c r="D35" s="4">
        <v>150</v>
      </c>
      <c r="E35" s="1">
        <v>0</v>
      </c>
      <c r="F35" s="4">
        <v>100</v>
      </c>
      <c r="G35" s="1">
        <f t="shared" si="5"/>
        <v>250</v>
      </c>
      <c r="H35" s="1" t="s">
        <v>21</v>
      </c>
      <c r="I35" s="1">
        <v>150</v>
      </c>
    </row>
    <row r="36" spans="1:9" x14ac:dyDescent="0.3">
      <c r="A36" s="7" t="s">
        <v>17</v>
      </c>
      <c r="B36" s="1" t="s">
        <v>13</v>
      </c>
      <c r="C36" s="1">
        <v>0</v>
      </c>
      <c r="D36" s="1">
        <v>0</v>
      </c>
      <c r="E36" s="4">
        <v>700</v>
      </c>
      <c r="F36" s="1">
        <v>0</v>
      </c>
      <c r="G36" s="1">
        <f t="shared" si="5"/>
        <v>700</v>
      </c>
      <c r="H36" s="1" t="s">
        <v>21</v>
      </c>
      <c r="I36" s="1">
        <v>700</v>
      </c>
    </row>
    <row r="37" spans="1:9" x14ac:dyDescent="0.3">
      <c r="A37" s="7"/>
      <c r="B37" s="1" t="s">
        <v>4</v>
      </c>
      <c r="C37" s="1">
        <v>0</v>
      </c>
      <c r="D37" s="1">
        <v>0</v>
      </c>
      <c r="E37" s="4">
        <v>50</v>
      </c>
      <c r="F37" s="1">
        <v>0</v>
      </c>
      <c r="G37" s="1">
        <f t="shared" si="5"/>
        <v>50</v>
      </c>
      <c r="H37" s="1" t="s">
        <v>21</v>
      </c>
      <c r="I37" s="1">
        <v>50</v>
      </c>
    </row>
    <row r="38" spans="1:9" x14ac:dyDescent="0.3">
      <c r="A38" s="7"/>
      <c r="B38" s="1" t="s">
        <v>14</v>
      </c>
      <c r="C38" s="1">
        <v>0</v>
      </c>
      <c r="D38" s="1">
        <v>0</v>
      </c>
      <c r="E38" s="1">
        <v>0</v>
      </c>
      <c r="F38" s="4">
        <v>130</v>
      </c>
      <c r="G38" s="1">
        <f t="shared" si="5"/>
        <v>130</v>
      </c>
      <c r="H38" s="1" t="s">
        <v>21</v>
      </c>
      <c r="I38" s="1">
        <v>130</v>
      </c>
    </row>
    <row r="40" spans="1:9" x14ac:dyDescent="0.3">
      <c r="C40" s="1">
        <f>SUM(C29:C38)</f>
        <v>800</v>
      </c>
      <c r="D40" s="1">
        <f t="shared" ref="D40:F40" si="6">SUM(D29:D38)</f>
        <v>1000</v>
      </c>
      <c r="E40" s="1">
        <f t="shared" si="6"/>
        <v>750</v>
      </c>
      <c r="F40" s="1">
        <f t="shared" si="6"/>
        <v>230</v>
      </c>
      <c r="I40" s="6">
        <f>SUM(I29:I38)</f>
        <v>2780</v>
      </c>
    </row>
    <row r="41" spans="1:9" x14ac:dyDescent="0.3">
      <c r="C41" s="1" t="s">
        <v>21</v>
      </c>
      <c r="D41" s="1" t="s">
        <v>21</v>
      </c>
      <c r="E41" s="1" t="s">
        <v>21</v>
      </c>
      <c r="F41" s="1" t="s">
        <v>21</v>
      </c>
    </row>
    <row r="42" spans="1:9" x14ac:dyDescent="0.3">
      <c r="B42" s="1" t="s">
        <v>20</v>
      </c>
      <c r="C42" s="1">
        <v>800</v>
      </c>
      <c r="D42" s="1">
        <v>1000</v>
      </c>
      <c r="E42" s="1">
        <v>750</v>
      </c>
      <c r="F42" s="6">
        <f>I40-C43</f>
        <v>230</v>
      </c>
    </row>
    <row r="43" spans="1:9" x14ac:dyDescent="0.3">
      <c r="C43" s="6">
        <f>C42+D42+E42</f>
        <v>2550</v>
      </c>
      <c r="H43" s="2" t="s">
        <v>23</v>
      </c>
      <c r="I43" s="2">
        <f>SUMPRODUCT(C13:E22,C29:E38)</f>
        <v>105700</v>
      </c>
    </row>
  </sheetData>
  <mergeCells count="8">
    <mergeCell ref="A30:A32"/>
    <mergeCell ref="A33:A35"/>
    <mergeCell ref="A36:A38"/>
    <mergeCell ref="A13:B13"/>
    <mergeCell ref="A14:A16"/>
    <mergeCell ref="A17:A19"/>
    <mergeCell ref="A20:A22"/>
    <mergeCell ref="A29:B2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5E3588147654284604D4E812B6D70" ma:contentTypeVersion="28" ma:contentTypeDescription="Create a new document." ma:contentTypeScope="" ma:versionID="fdd05c4d12ce21dfd7acd879d41c8a8a">
  <xsd:schema xmlns:xsd="http://www.w3.org/2001/XMLSchema" xmlns:xs="http://www.w3.org/2001/XMLSchema" xmlns:p="http://schemas.microsoft.com/office/2006/metadata/properties" xmlns:ns2="0a2451e9-b2b7-43a3-aada-52e3e0c35c47" targetNamespace="http://schemas.microsoft.com/office/2006/metadata/properties" ma:root="true" ma:fieldsID="7a3110420552be000dd5f5bf983eeaa7" ns2:_="">
    <xsd:import namespace="0a2451e9-b2b7-43a3-aada-52e3e0c35c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51e9-b2b7-43a3-aada-52e3e0c35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0a2451e9-b2b7-43a3-aada-52e3e0c35c47" xsi:nil="true"/>
    <CultureName xmlns="0a2451e9-b2b7-43a3-aada-52e3e0c35c47" xsi:nil="true"/>
    <LMS_Mappings xmlns="0a2451e9-b2b7-43a3-aada-52e3e0c35c47" xsi:nil="true"/>
    <Invited_Students xmlns="0a2451e9-b2b7-43a3-aada-52e3e0c35c47" xsi:nil="true"/>
    <IsNotebookLocked xmlns="0a2451e9-b2b7-43a3-aada-52e3e0c35c47" xsi:nil="true"/>
    <Math_Settings xmlns="0a2451e9-b2b7-43a3-aada-52e3e0c35c47" xsi:nil="true"/>
    <Self_Registration_Enabled xmlns="0a2451e9-b2b7-43a3-aada-52e3e0c35c47" xsi:nil="true"/>
    <Teachers xmlns="0a2451e9-b2b7-43a3-aada-52e3e0c35c47">
      <UserInfo>
        <DisplayName/>
        <AccountId xsi:nil="true"/>
        <AccountType/>
      </UserInfo>
    </Teachers>
    <Students xmlns="0a2451e9-b2b7-43a3-aada-52e3e0c35c47">
      <UserInfo>
        <DisplayName/>
        <AccountId xsi:nil="true"/>
        <AccountType/>
      </UserInfo>
    </Students>
    <Student_Groups xmlns="0a2451e9-b2b7-43a3-aada-52e3e0c35c47">
      <UserInfo>
        <DisplayName/>
        <AccountId xsi:nil="true"/>
        <AccountType/>
      </UserInfo>
    </Student_Groups>
    <Templates xmlns="0a2451e9-b2b7-43a3-aada-52e3e0c35c47" xsi:nil="true"/>
    <Has_Teacher_Only_SectionGroup xmlns="0a2451e9-b2b7-43a3-aada-52e3e0c35c47" xsi:nil="true"/>
    <NotebookType xmlns="0a2451e9-b2b7-43a3-aada-52e3e0c35c47" xsi:nil="true"/>
    <Distribution_Groups xmlns="0a2451e9-b2b7-43a3-aada-52e3e0c35c47" xsi:nil="true"/>
    <AppVersion xmlns="0a2451e9-b2b7-43a3-aada-52e3e0c35c47" xsi:nil="true"/>
    <Invited_Teachers xmlns="0a2451e9-b2b7-43a3-aada-52e3e0c35c47" xsi:nil="true"/>
    <Teams_Channel_Section_Location xmlns="0a2451e9-b2b7-43a3-aada-52e3e0c35c47" xsi:nil="true"/>
    <Owner xmlns="0a2451e9-b2b7-43a3-aada-52e3e0c35c47">
      <UserInfo>
        <DisplayName/>
        <AccountId xsi:nil="true"/>
        <AccountType/>
      </UserInfo>
    </Owner>
    <DefaultSectionNames xmlns="0a2451e9-b2b7-43a3-aada-52e3e0c35c47" xsi:nil="true"/>
    <TeamsChannelId xmlns="0a2451e9-b2b7-43a3-aada-52e3e0c35c47" xsi:nil="true"/>
    <Is_Collaboration_Space_Locked xmlns="0a2451e9-b2b7-43a3-aada-52e3e0c35c47" xsi:nil="true"/>
  </documentManagement>
</p:properties>
</file>

<file path=customXml/itemProps1.xml><?xml version="1.0" encoding="utf-8"?>
<ds:datastoreItem xmlns:ds="http://schemas.openxmlformats.org/officeDocument/2006/customXml" ds:itemID="{B26FFD5A-E0AE-4B2C-99D3-D15BF4571A66}"/>
</file>

<file path=customXml/itemProps2.xml><?xml version="1.0" encoding="utf-8"?>
<ds:datastoreItem xmlns:ds="http://schemas.openxmlformats.org/officeDocument/2006/customXml" ds:itemID="{4FD7110A-64B5-4324-B619-7243C39FBDCC}"/>
</file>

<file path=customXml/itemProps3.xml><?xml version="1.0" encoding="utf-8"?>
<ds:datastoreItem xmlns:ds="http://schemas.openxmlformats.org/officeDocument/2006/customXml" ds:itemID="{2950E551-8DD1-4C41-8ECF-D2F3B096D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Maiti</dc:creator>
  <cp:lastModifiedBy>Abhishek Maiti</cp:lastModifiedBy>
  <dcterms:created xsi:type="dcterms:W3CDTF">2025-04-11T05:37:32Z</dcterms:created>
  <dcterms:modified xsi:type="dcterms:W3CDTF">2026-01-18T19:01:17Z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0x0101000A75E3588147654284604D4E812B6D70</vt:lpwstr>
  </property>
</Properties>
</file>